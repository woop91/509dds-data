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<sst xmlns="http://schemas.openxmlformats.org/spreadsheetml/2006/main" count="297" uniqueCount="166">
  <si>
    <t xml:space="preserve">Year</t>
  </si>
  <si>
    <t xml:space="preserve">Total Receipt of Cases</t>
  </si>
  <si>
    <t xml:space="preserve">86,400</t>
  </si>
  <si>
    <t xml:space="preserve">86,232</t>
  </si>
  <si>
    <t xml:space="preserve">91,337</t>
  </si>
  <si>
    <t xml:space="preserve">79,557</t>
  </si>
  <si>
    <t xml:space="preserve">86,058</t>
  </si>
  <si>
    <t xml:space="preserve">75,330</t>
  </si>
  <si>
    <t xml:space="preserve">63,712</t>
  </si>
  <si>
    <t xml:space="preserve">FOIA</t>
  </si>
  <si>
    <t xml:space="preserve">60,305</t>
  </si>
  <si>
    <t xml:space="preserve">Total Disposition of Cases:</t>
  </si>
  <si>
    <t xml:space="preserve">85,854</t>
  </si>
  <si>
    <t xml:space="preserve">86,190</t>
  </si>
  <si>
    <t xml:space="preserve">85,508</t>
  </si>
  <si>
    <t xml:space="preserve">91,657</t>
  </si>
  <si>
    <t xml:space="preserve">87,054</t>
  </si>
  <si>
    <t xml:space="preserve">83,977</t>
  </si>
  <si>
    <t xml:space="preserve">76,620</t>
  </si>
  <si>
    <t xml:space="preserve">65,163</t>
  </si>
  <si>
    <t xml:space="preserve">58,859</t>
  </si>
  <si>
    <t xml:space="preserve">60,453</t>
  </si>
  <si>
    <t xml:space="preserve">Initial Claims Filed:</t>
  </si>
  <si>
    <t xml:space="preserve">57,906</t>
  </si>
  <si>
    <t xml:space="preserve">52,993</t>
  </si>
  <si>
    <t xml:space="preserve">52,503</t>
  </si>
  <si>
    <t xml:space="preserve">48,430</t>
  </si>
  <si>
    <t xml:space="preserve">45,614</t>
  </si>
  <si>
    <t xml:space="preserve">43,776</t>
  </si>
  <si>
    <t xml:space="preserve">Initial Claims Disposed:</t>
  </si>
  <si>
    <t xml:space="preserve">58,020</t>
  </si>
  <si>
    <t xml:space="preserve">56,716</t>
  </si>
  <si>
    <t xml:space="preserve">48,954</t>
  </si>
  <si>
    <t xml:space="preserve">46,955</t>
  </si>
  <si>
    <t xml:space="preserve">42,724</t>
  </si>
  <si>
    <t xml:space="preserve">34,877</t>
  </si>
  <si>
    <t xml:space="preserve">38,512</t>
  </si>
  <si>
    <t xml:space="preserve">% Allowed:</t>
  </si>
  <si>
    <t xml:space="preserve">40.6%</t>
  </si>
  <si>
    <t xml:space="preserve">41.2%</t>
  </si>
  <si>
    <t xml:space="preserve">41.3%</t>
  </si>
  <si>
    <t xml:space="preserve">41.1%</t>
  </si>
  <si>
    <t xml:space="preserve">42.9%</t>
  </si>
  <si>
    <t xml:space="preserve">44%</t>
  </si>
  <si>
    <t xml:space="preserve">Continuing Disability Review Receipts:</t>
  </si>
  <si>
    <t xml:space="preserve">11,402</t>
  </si>
  <si>
    <t xml:space="preserve">16,301</t>
  </si>
  <si>
    <t xml:space="preserve">26,673</t>
  </si>
  <si>
    <t xml:space="preserve">16,478</t>
  </si>
  <si>
    <t xml:space="preserve">Continuing Disability Review Dispositions: </t>
  </si>
  <si>
    <t xml:space="preserve">23,595</t>
  </si>
  <si>
    <t xml:space="preserve">22,539</t>
  </si>
  <si>
    <t xml:space="preserve">27,510</t>
  </si>
  <si>
    <t xml:space="preserve">19,684</t>
  </si>
  <si>
    <t xml:space="preserve">16,998</t>
  </si>
  <si>
    <t xml:space="preserve">13,776</t>
  </si>
  <si>
    <t xml:space="preserve">Consultative Examinations Purchased: </t>
  </si>
  <si>
    <t xml:space="preserve">20,644</t>
  </si>
  <si>
    <t xml:space="preserve">21,719</t>
  </si>
  <si>
    <t xml:space="preserve">19,688</t>
  </si>
  <si>
    <t xml:space="preserve">17,573</t>
  </si>
  <si>
    <t xml:space="preserve">17,117</t>
  </si>
  <si>
    <t xml:space="preserve">10,233</t>
  </si>
  <si>
    <t xml:space="preserve">Consultative Examination Rate:</t>
  </si>
  <si>
    <t xml:space="preserve">24.0%</t>
  </si>
  <si>
    <t xml:space="preserve">24.5%</t>
  </si>
  <si>
    <t xml:space="preserve">23.7%</t>
  </si>
  <si>
    <t xml:space="preserve">22.6%</t>
  </si>
  <si>
    <t xml:space="preserve">20.9%</t>
  </si>
  <si>
    <t xml:space="preserve">22.3%</t>
  </si>
  <si>
    <t xml:space="preserve">15.7%</t>
  </si>
  <si>
    <t xml:space="preserve">Medical Evidence of Record Purchased:</t>
  </si>
  <si>
    <t xml:space="preserve">79,476</t>
  </si>
  <si>
    <t xml:space="preserve">74,706</t>
  </si>
  <si>
    <t xml:space="preserve">67,694</t>
  </si>
  <si>
    <t xml:space="preserve">55,338</t>
  </si>
  <si>
    <t xml:space="preserve">Medical Evidence of Record Rate: </t>
  </si>
  <si>
    <t xml:space="preserve">90.2%</t>
  </si>
  <si>
    <t xml:space="preserve">90.8%</t>
  </si>
  <si>
    <t xml:space="preserve">88.5%</t>
  </si>
  <si>
    <t xml:space="preserve">89.0%</t>
  </si>
  <si>
    <t xml:space="preserve">88.4%</t>
  </si>
  <si>
    <t xml:space="preserve">DDS Accuracy of Decisions:</t>
  </si>
  <si>
    <t xml:space="preserve">96.7%</t>
  </si>
  <si>
    <t xml:space="preserve">98.6%</t>
  </si>
  <si>
    <t xml:space="preserve">96.2%</t>
  </si>
  <si>
    <t xml:space="preserve">96.4%</t>
  </si>
  <si>
    <t xml:space="preserve">96.9%</t>
  </si>
  <si>
    <t xml:space="preserve">95.2%</t>
  </si>
  <si>
    <t xml:space="preserve">98%</t>
  </si>
  <si>
    <t xml:space="preserve">97%</t>
  </si>
  <si>
    <t xml:space="preserve">Federal Accuracy of Decision Standard:</t>
  </si>
  <si>
    <t xml:space="preserve">90%</t>
  </si>
  <si>
    <t xml:space="preserve">90.6%</t>
  </si>
  <si>
    <t xml:space="preserve">Cost Per Case: </t>
  </si>
  <si>
    <t xml:space="preserve">549.34</t>
  </si>
  <si>
    <t xml:space="preserve">571.63</t>
  </si>
  <si>
    <t xml:space="preserve">568.79</t>
  </si>
  <si>
    <t xml:space="preserve">741.39</t>
  </si>
  <si>
    <t xml:space="preserve">NUMBER OF V.D.E.</t>
  </si>
  <si>
    <t xml:space="preserve">NUMBER OF CLERKS</t>
  </si>
  <si>
    <t xml:space="preserve">TOTAL NUMBER OF DDS STAFF</t>
  </si>
  <si>
    <t xml:space="preserve">OVERTIME HOURS OFFERED</t>
  </si>
  <si>
    <t xml:space="preserve">OVERTIME HOURS USED</t>
  </si>
  <si>
    <t xml:space="preserve">MassAbility Annual and Legislative Reports | Mass.gov </t>
  </si>
  <si>
    <t xml:space="preserve">https://www.mass.gov/lists/massability-annual-and-legislative-reports</t>
  </si>
  <si>
    <t xml:space="preserve">MA wait times:</t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</si>
  <si>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Massachusetts</t>
    </r>
  </si>
  <si>
    <t xml:space="preserve">Total State DDS Employees by State FY2010 to FY2023</t>
  </si>
  <si>
    <t xml:space="preserve">FY 2010</t>
  </si>
  <si>
    <t xml:space="preserve">FY 2011</t>
  </si>
  <si>
    <t xml:space="preserve">FY 2012</t>
  </si>
  <si>
    <t xml:space="preserve">FY 2013</t>
  </si>
  <si>
    <t xml:space="preserve">FY 2014</t>
  </si>
  <si>
    <t xml:space="preserve">FY 2015</t>
  </si>
  <si>
    <t xml:space="preserve">FY 2016</t>
  </si>
  <si>
    <t xml:space="preserve">FY 2017</t>
  </si>
  <si>
    <t xml:space="preserve">FY 2018</t>
  </si>
  <si>
    <t xml:space="preserve">FY 2019</t>
  </si>
  <si>
    <t xml:space="preserve">FY 2020</t>
  </si>
  <si>
    <t xml:space="preserve">FY 2021</t>
  </si>
  <si>
    <t xml:space="preserve">FY 2022</t>
  </si>
  <si>
    <t xml:space="preserve">FY 2023</t>
  </si>
  <si>
    <t xml:space="preserve">Total Staff</t>
  </si>
  <si>
    <t xml:space="preserve">Grand Total</t>
  </si>
  <si>
    <t xml:space="preserve">BOS</t>
  </si>
  <si>
    <t xml:space="preserve">Total</t>
  </si>
  <si>
    <t xml:space="preserve">CT</t>
  </si>
  <si>
    <t xml:space="preserve">ME</t>
  </si>
  <si>
    <t xml:space="preserve">MA</t>
  </si>
  <si>
    <t xml:space="preserve">NH</t>
  </si>
  <si>
    <t xml:space="preserve">RI</t>
  </si>
  <si>
    <t xml:space="preserve">VT</t>
  </si>
  <si>
    <t xml:space="preserve">NYC</t>
  </si>
  <si>
    <t xml:space="preserve">NJ</t>
  </si>
  <si>
    <t xml:space="preserve">NY</t>
  </si>
  <si>
    <t xml:space="preserve">PR</t>
  </si>
  <si>
    <t xml:space="preserve">Disability Examiners from FY 2002-2018</t>
  </si>
  <si>
    <t xml:space="preserve">National</t>
  </si>
  <si>
    <t xml:space="preserve">PHL</t>
  </si>
  <si>
    <t xml:space="preserve">FY 2017 Wait times for Ttitle 2 claims pending at the initial application listed by state total</t>
  </si>
  <si>
    <r>
      <rPr>
        <sz val="12"/>
        <color rgb="FF000000"/>
        <rFont val="Calibri;Calibri"/>
        <family val="2"/>
      </rPr>
      <t xml:space="preserve"> </t>
    </r>
    <r>
      <rPr>
        <b val="true"/>
        <sz val="11"/>
        <color rgb="FF000000"/>
        <rFont val="Calibri;Calibri"/>
        <family val="2"/>
      </rPr>
      <t xml:space="preserve">Field Office's State</t>
    </r>
  </si>
  <si>
    <t xml:space="preserve">T2 Disability Claims Count </t>
  </si>
  <si>
    <t xml:space="preserve">OverallT2 Disability Processing Time </t>
  </si>
  <si>
    <r>
      <rPr>
        <sz val="10"/>
        <rFont val="Arial"/>
        <family val="2"/>
        <charset val="1"/>
      </rPr>
      <t xml:space="preserve">
</t>
    </r>
    <r>
      <rPr>
        <sz val="10"/>
        <color rgb="FF000000"/>
        <rFont val="Calibri;Calibri"/>
        <family val="2"/>
      </rPr>
      <t xml:space="preserve">
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</si>
  <si>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Connecticut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</si>
  <si>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Maine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</si>
  <si>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7,784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</si>
  <si>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103.7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</si>
  <si>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New Hampshire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</si>
  <si>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7,142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</si>
  <si>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119.3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</si>
  <si>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Rhode Island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</si>
  <si>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5,948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</si>
  <si>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107.9</t>
    </r>
  </si>
  <si>
    <t xml:space="preserve">Vermont</t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</si>
  <si>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New Jersey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</si>
  <si>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33,551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</si>
  <si>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94.3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</si>
  <si>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New York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</si>
  <si>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83,454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</si>
  <si>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78.4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</si>
  <si>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Puerto Rico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</si>
  <si>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11,204</t>
    </r>
  </si>
  <si>
    <r>
      <rPr>
        <sz val="12"/>
        <color rgb="FF000000"/>
        <rFont val="Calibri;Calibri"/>
        <family val="2"/>
      </rPr>
      <t xml:space="preserve"> </t>
    </r>
    <r>
      <rPr>
        <sz val="11"/>
        <color rgb="FF000000"/>
        <rFont val="Calibri;Calibri"/>
        <family val="2"/>
      </rPr>
      <t xml:space="preserve">106.7</t>
    </r>
  </si>
  <si>
    <t xml:space="preserve">FY18 Initial level Title II claims still pending by SSA Field Office; Counts and Avg Pending Days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</si>
</sst>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%"/>
    <numFmt numFmtId="168" formatCode="#,##0.00"/>
    <numFmt numFmtId="169" formatCode="[$$-409]#,##0.00;[RED]\-[$$-409]#,##0.00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i val="true"/>
      <sz val="12"/>
      <name val="Calibri"/>
      <family val="2"/>
      <charset val="1"/>
    </font>
    <font>
      <sz val="10"/>
      <color rgb="FF0000FF"/>
      <name val="Times New Roman"/>
      <family val="1"/>
      <charset val="1"/>
    </font>
    <font>
      <sz val="12"/>
      <color rgb="FF0000FF"/>
      <name val="Arial"/>
      <family val="2"/>
      <charset val="1"/>
    </font>
    <font>
      <sz val="12"/>
      <color rgb="FF000000"/>
      <name val="Calibri;Calibri"/>
      <family val="2"/>
    </font>
    <font>
      <sz val="11"/>
      <color rgb="FF000000"/>
      <name val="Calibri;Calibri"/>
      <family val="2"/>
    </font>
    <font>
      <sz val="11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14"/>
      <color theme="0"/>
      <name val="Calibri"/>
      <family val="2"/>
      <charset val="1"/>
    </font>
    <font>
      <b val="true"/>
      <sz val="11"/>
      <color rgb="FF000000"/>
      <name val="Calibri;Calibri"/>
      <family val="2"/>
    </font>
    <font>
      <b val="true"/>
      <sz val="11"/>
      <color rgb="FF000000"/>
      <name val="Arial"/>
      <family val="2"/>
      <charset val="1"/>
    </font>
    <font>
      <sz val="10"/>
      <color rgb="FF000000"/>
      <name val="Calibri;Calibri"/>
      <family val="2"/>
    </font>
    <font>
      <sz val="12"/>
      <name val=""/>
      <family val="1"/>
      <charset val="1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0.7999"/>
        <bgColor rgb="FFFFFF99"/>
      </patternFill>
    </fill>
    <fill>
      <patternFill patternType="solid">
        <fgColor theme="9" tint="0.7999"/>
        <bgColor rgb="FFF5BBFE"/>
      </patternFill>
    </fill>
    <fill>
      <patternFill patternType="solid">
        <fgColor theme="7" tint="0.7999"/>
        <bgColor rgb="FFF8CFCE"/>
      </patternFill>
    </fill>
    <fill>
      <patternFill patternType="solid">
        <fgColor theme="1" tint="0.15"/>
        <bgColor rgb="FF333300"/>
      </patternFill>
    </fill>
    <fill>
      <patternFill patternType="solid">
        <fgColor rgb="FFFFFF99"/>
        <bgColor rgb="FFFFF1C1"/>
      </patternFill>
    </fill>
    <fill>
      <patternFill patternType="solid">
        <fgColor rgb="FFFF5429"/>
        <bgColor rgb="FFFF8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3" fillId="4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3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3" fillId="3" borderId="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13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2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5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12" fillId="5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5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4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1"/>
      <rgbColor rgb="FFCCFFFF"/>
      <rgbColor rgb="FF660066"/>
      <rgbColor rgb="FFFF8080"/>
      <rgbColor rgb="FF0066CC"/>
      <rgbColor rgb="FFF5B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FCE"/>
      <rgbColor rgb="FF3366FF"/>
      <rgbColor rgb="FF33CCCC"/>
      <rgbColor rgb="FF99CC00"/>
      <rgbColor rgb="FFFFCC00"/>
      <rgbColor rgb="FFFF9900"/>
      <rgbColor rgb="FFFF5429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ass.gov/lists/massability-annual-and-legislative-reports" TargetMode="External"/><Relationship Id="rId2" Type="http://schemas.openxmlformats.org/officeDocument/2006/relationships/hyperlink" Target="https://www.mass.gov/lists/massability-annual-and-legislative-repor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S13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4" topLeftCell="A71" activePane="bottomLeft" state="frozen"/>
      <selection pane="topLeft" activeCell="A1" activeCellId="0" sqref="A1"/>
      <selection pane="bottomLeft" activeCell="K103" activeCellId="0" sqref="K10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9.82"/>
    <col collapsed="false" customWidth="true" hidden="false" outlineLevel="0" max="2" min="2" style="1" width="17.91"/>
    <col collapsed="false" customWidth="true" hidden="false" outlineLevel="0" max="3" min="3" style="1" width="28.74"/>
    <col collapsed="false" customWidth="true" hidden="false" outlineLevel="0" max="4" min="4" style="1" width="39.27"/>
    <col collapsed="false" customWidth="false" hidden="false" outlineLevel="0" max="5" min="5" style="1" width="11.53"/>
    <col collapsed="false" customWidth="true" hidden="false" outlineLevel="0" max="6" min="6" style="1" width="8.87"/>
    <col collapsed="false" customWidth="true" hidden="false" outlineLevel="0" max="7" min="7" style="1" width="10.51"/>
    <col collapsed="false" customWidth="true" hidden="false" outlineLevel="0" max="8" min="8" style="1" width="10.43"/>
    <col collapsed="false" customWidth="true" hidden="false" outlineLevel="0" max="10" min="10" style="1" width="11.99"/>
    <col collapsed="false" customWidth="true" hidden="false" outlineLevel="0" max="12" min="12" style="1" width="8.61"/>
    <col collapsed="false" customWidth="true" hidden="false" outlineLevel="0" max="13" min="13" style="1" width="12.34"/>
  </cols>
  <sheetData>
    <row r="3" customFormat="false" ht="12.8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2.8" hidden="false" customHeight="true" outlineLevel="0" collapsed="false">
      <c r="A4" s="3" t="s">
        <v>0</v>
      </c>
      <c r="B4" s="2"/>
      <c r="C4" s="3" t="n">
        <v>2013</v>
      </c>
      <c r="D4" s="3" t="n">
        <v>2014</v>
      </c>
      <c r="E4" s="3" t="n">
        <v>2015</v>
      </c>
      <c r="F4" s="3" t="n">
        <v>2016</v>
      </c>
      <c r="G4" s="3" t="n">
        <v>2017</v>
      </c>
      <c r="H4" s="3" t="n">
        <v>2018</v>
      </c>
      <c r="I4" s="3" t="n">
        <v>2019</v>
      </c>
      <c r="J4" s="3" t="n">
        <v>2019</v>
      </c>
      <c r="K4" s="3" t="n">
        <v>2021</v>
      </c>
      <c r="L4" s="3" t="n">
        <v>2022</v>
      </c>
      <c r="M4" s="3" t="n">
        <v>2023</v>
      </c>
      <c r="N4" s="3" t="n">
        <v>2024</v>
      </c>
    </row>
    <row r="5" customFormat="false" ht="12.8" hidden="false" customHeight="false" outlineLevel="0" collapsed="false">
      <c r="A5" s="2"/>
      <c r="B5" s="2"/>
      <c r="C5" s="3" t="n">
        <v>2013</v>
      </c>
      <c r="D5" s="3" t="n">
        <v>2014</v>
      </c>
      <c r="E5" s="2" t="n">
        <v>2015</v>
      </c>
      <c r="F5" s="2" t="n">
        <v>2016</v>
      </c>
      <c r="G5" s="2" t="n">
        <v>2017</v>
      </c>
      <c r="H5" s="2" t="n">
        <v>2018</v>
      </c>
      <c r="I5" s="2" t="n">
        <v>2019</v>
      </c>
      <c r="J5" s="2" t="n">
        <v>2020</v>
      </c>
      <c r="K5" s="2" t="n">
        <v>2021</v>
      </c>
      <c r="L5" s="2" t="n">
        <v>2022</v>
      </c>
      <c r="M5" s="2" t="n">
        <v>2023</v>
      </c>
      <c r="N5" s="2" t="n">
        <v>2024</v>
      </c>
    </row>
    <row r="6" customFormat="false" ht="15" hidden="false" customHeight="false" outlineLevel="0" collapsed="false">
      <c r="A6" s="2"/>
      <c r="B6" s="2"/>
      <c r="C6" s="2"/>
      <c r="D6" s="4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4" t="s">
        <v>1</v>
      </c>
      <c r="B7" s="2"/>
      <c r="C7" s="4" t="s">
        <v>2</v>
      </c>
      <c r="D7" s="5" t="n">
        <v>83691</v>
      </c>
      <c r="E7" s="4" t="s">
        <v>3</v>
      </c>
      <c r="F7" s="4" t="s">
        <v>4</v>
      </c>
      <c r="G7" s="4" t="s">
        <v>5</v>
      </c>
      <c r="H7" s="4" t="s">
        <v>6</v>
      </c>
      <c r="I7" s="4" t="s">
        <v>7</v>
      </c>
      <c r="J7" s="4" t="s">
        <v>8</v>
      </c>
      <c r="K7" s="6" t="s">
        <v>9</v>
      </c>
      <c r="L7" s="4" t="n">
        <v>64276</v>
      </c>
      <c r="M7" s="4" t="n">
        <v>60048</v>
      </c>
      <c r="N7" s="4" t="s">
        <v>10</v>
      </c>
    </row>
    <row r="8" customFormat="false" ht="15" hidden="false" customHeight="false" outlineLevel="0" collapsed="false">
      <c r="A8" s="4" t="s">
        <v>11</v>
      </c>
      <c r="B8" s="2"/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19</v>
      </c>
      <c r="K8" s="6" t="s">
        <v>9</v>
      </c>
      <c r="L8" s="6" t="s">
        <v>9</v>
      </c>
      <c r="M8" s="4" t="s">
        <v>20</v>
      </c>
      <c r="N8" s="4" t="s">
        <v>21</v>
      </c>
    </row>
    <row r="9" customFormat="false" ht="15" hidden="false" customHeight="false" outlineLevel="0" collapsed="false">
      <c r="A9" s="4" t="s">
        <v>22</v>
      </c>
      <c r="B9" s="2"/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28</v>
      </c>
      <c r="I9" s="5" t="n">
        <v>44306</v>
      </c>
      <c r="J9" s="5" t="n">
        <v>38976</v>
      </c>
      <c r="K9" s="6" t="s">
        <v>9</v>
      </c>
      <c r="L9" s="6" t="s">
        <v>9</v>
      </c>
      <c r="M9" s="6" t="s">
        <v>9</v>
      </c>
      <c r="N9" s="6" t="s">
        <v>9</v>
      </c>
    </row>
    <row r="10" customFormat="false" ht="15" hidden="false" customHeight="false" outlineLevel="0" collapsed="false">
      <c r="A10" s="4" t="s">
        <v>29</v>
      </c>
      <c r="B10" s="2"/>
      <c r="C10" s="4" t="s">
        <v>30</v>
      </c>
      <c r="D10" s="4" t="s">
        <v>31</v>
      </c>
      <c r="E10" s="5" t="n">
        <v>56343</v>
      </c>
      <c r="F10" s="4" t="s">
        <v>32</v>
      </c>
      <c r="G10" s="4" t="s">
        <v>33</v>
      </c>
      <c r="H10" s="5" t="n">
        <v>44321</v>
      </c>
      <c r="I10" s="4" t="s">
        <v>34</v>
      </c>
      <c r="J10" s="5" t="n">
        <v>38565</v>
      </c>
      <c r="K10" s="6" t="s">
        <v>9</v>
      </c>
      <c r="L10" s="4" t="n">
        <v>27880</v>
      </c>
      <c r="M10" s="4" t="s">
        <v>35</v>
      </c>
      <c r="N10" s="4" t="s">
        <v>36</v>
      </c>
    </row>
    <row r="11" customFormat="false" ht="15" hidden="false" customHeight="false" outlineLevel="0" collapsed="false">
      <c r="A11" s="4" t="s">
        <v>37</v>
      </c>
      <c r="B11" s="2"/>
      <c r="C11" s="7" t="n">
        <v>0.409</v>
      </c>
      <c r="D11" s="7" t="n">
        <v>0.401</v>
      </c>
      <c r="E11" s="4" t="s">
        <v>38</v>
      </c>
      <c r="F11" s="4" t="s">
        <v>39</v>
      </c>
      <c r="G11" s="4" t="s">
        <v>40</v>
      </c>
      <c r="H11" s="4" t="s">
        <v>41</v>
      </c>
      <c r="I11" s="4" t="s">
        <v>42</v>
      </c>
      <c r="J11" s="8" t="n">
        <v>0.458</v>
      </c>
      <c r="K11" s="6" t="s">
        <v>9</v>
      </c>
      <c r="L11" s="8" t="n">
        <v>0.57</v>
      </c>
      <c r="M11" s="6" t="s">
        <v>9</v>
      </c>
      <c r="N11" s="4" t="s">
        <v>43</v>
      </c>
    </row>
    <row r="12" customFormat="false" ht="15" hidden="false" customHeight="false" outlineLevel="0" collapsed="false">
      <c r="A12" s="4" t="s">
        <v>44</v>
      </c>
      <c r="B12" s="2"/>
      <c r="C12" s="5" t="n">
        <v>8968</v>
      </c>
      <c r="D12" s="4" t="s">
        <v>45</v>
      </c>
      <c r="E12" s="4" t="s">
        <v>46</v>
      </c>
      <c r="F12" s="5" t="n">
        <v>30682</v>
      </c>
      <c r="G12" s="5" t="n">
        <v>17031</v>
      </c>
      <c r="H12" s="4" t="s">
        <v>47</v>
      </c>
      <c r="I12" s="4" t="s">
        <v>48</v>
      </c>
      <c r="J12" s="5" t="n">
        <v>12115</v>
      </c>
      <c r="K12" s="6" t="s">
        <v>9</v>
      </c>
      <c r="L12" s="6" t="s">
        <v>9</v>
      </c>
      <c r="M12" s="6" t="s">
        <v>9</v>
      </c>
      <c r="N12" s="6" t="s">
        <v>9</v>
      </c>
    </row>
    <row r="13" customFormat="false" ht="15" hidden="false" customHeight="false" outlineLevel="0" collapsed="false">
      <c r="A13" s="4" t="s">
        <v>49</v>
      </c>
      <c r="B13" s="2"/>
      <c r="C13" s="5" t="n">
        <v>7848</v>
      </c>
      <c r="D13" s="5" t="n">
        <v>9150</v>
      </c>
      <c r="E13" s="5" t="n">
        <v>18616</v>
      </c>
      <c r="F13" s="4" t="s">
        <v>50</v>
      </c>
      <c r="G13" s="4" t="s">
        <v>51</v>
      </c>
      <c r="H13" s="4" t="s">
        <v>52</v>
      </c>
      <c r="I13" s="4" t="s">
        <v>53</v>
      </c>
      <c r="J13" s="5" t="n">
        <v>12890</v>
      </c>
      <c r="K13" s="6" t="s">
        <v>9</v>
      </c>
      <c r="L13" s="4" t="s">
        <v>54</v>
      </c>
      <c r="M13" s="9" t="n">
        <v>14842</v>
      </c>
      <c r="N13" s="4" t="s">
        <v>55</v>
      </c>
    </row>
    <row r="14" customFormat="false" ht="12.8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0"/>
      <c r="N14" s="2"/>
    </row>
    <row r="15" customFormat="false" ht="15" hidden="false" customHeight="false" outlineLevel="0" collapsed="false">
      <c r="A15" s="4" t="s">
        <v>56</v>
      </c>
      <c r="B15" s="2"/>
      <c r="C15" s="5" t="n">
        <v>20534</v>
      </c>
      <c r="D15" s="5" t="s">
        <v>57</v>
      </c>
      <c r="E15" s="5" t="s">
        <v>58</v>
      </c>
      <c r="F15" s="5" t="n">
        <v>21281</v>
      </c>
      <c r="G15" s="5" t="s">
        <v>59</v>
      </c>
      <c r="H15" s="5" t="s">
        <v>60</v>
      </c>
      <c r="I15" s="5" t="s">
        <v>61</v>
      </c>
      <c r="J15" s="5" t="s">
        <v>62</v>
      </c>
      <c r="K15" s="11" t="n">
        <v>9289</v>
      </c>
      <c r="L15" s="11" t="n">
        <v>10006</v>
      </c>
      <c r="M15" s="11" t="n">
        <v>14467</v>
      </c>
      <c r="N15" s="2" t="n">
        <v>14467</v>
      </c>
    </row>
    <row r="16" customFormat="false" ht="15" hidden="false" customHeight="false" outlineLevel="0" collapsed="false">
      <c r="A16" s="4" t="s">
        <v>63</v>
      </c>
      <c r="B16" s="2"/>
      <c r="C16" s="7" t="n">
        <v>0.239</v>
      </c>
      <c r="D16" s="4" t="s">
        <v>64</v>
      </c>
      <c r="E16" s="4" t="s">
        <v>65</v>
      </c>
      <c r="F16" s="4" t="s">
        <v>66</v>
      </c>
      <c r="G16" s="4" t="s">
        <v>67</v>
      </c>
      <c r="H16" s="4" t="s">
        <v>68</v>
      </c>
      <c r="I16" s="4" t="s">
        <v>69</v>
      </c>
      <c r="J16" s="4" t="s">
        <v>70</v>
      </c>
      <c r="K16" s="6" t="s">
        <v>9</v>
      </c>
      <c r="L16" s="6" t="s">
        <v>9</v>
      </c>
      <c r="M16" s="12" t="s">
        <v>9</v>
      </c>
      <c r="N16" s="6" t="s">
        <v>9</v>
      </c>
    </row>
    <row r="17" customFormat="false" ht="15" hidden="false" customHeight="false" outlineLevel="0" collapsed="false">
      <c r="A17" s="4" t="s">
        <v>71</v>
      </c>
      <c r="B17" s="2"/>
      <c r="C17" s="5" t="n">
        <v>77472</v>
      </c>
      <c r="D17" s="5" t="n">
        <v>78473</v>
      </c>
      <c r="E17" s="5" t="n">
        <v>80373</v>
      </c>
      <c r="F17" s="5" t="s">
        <v>72</v>
      </c>
      <c r="G17" s="5" t="n">
        <v>77926</v>
      </c>
      <c r="H17" s="5" t="s">
        <v>73</v>
      </c>
      <c r="I17" s="5" t="s">
        <v>74</v>
      </c>
      <c r="J17" s="5" t="s">
        <v>75</v>
      </c>
      <c r="K17" s="13" t="s">
        <v>9</v>
      </c>
      <c r="L17" s="11" t="n">
        <v>39569</v>
      </c>
      <c r="M17" s="11" t="n">
        <v>52335</v>
      </c>
      <c r="N17" s="11" t="n">
        <v>52335</v>
      </c>
    </row>
    <row r="18" customFormat="false" ht="15" hidden="false" customHeight="false" outlineLevel="0" collapsed="false">
      <c r="A18" s="4" t="s">
        <v>76</v>
      </c>
      <c r="B18" s="2"/>
      <c r="C18" s="4" t="s">
        <v>77</v>
      </c>
      <c r="D18" s="7" t="n">
        <v>0.91</v>
      </c>
      <c r="E18" s="4" t="s">
        <v>78</v>
      </c>
      <c r="F18" s="4" t="s">
        <v>79</v>
      </c>
      <c r="G18" s="7" t="n">
        <v>0.895</v>
      </c>
      <c r="H18" s="4" t="s">
        <v>80</v>
      </c>
      <c r="I18" s="4" t="s">
        <v>81</v>
      </c>
      <c r="J18" s="7" t="n">
        <v>0.849</v>
      </c>
      <c r="K18" s="6" t="s">
        <v>9</v>
      </c>
      <c r="L18" s="6" t="s">
        <v>9</v>
      </c>
      <c r="M18" s="6" t="s">
        <v>9</v>
      </c>
      <c r="N18" s="6" t="s">
        <v>9</v>
      </c>
    </row>
    <row r="19" customFormat="false" ht="15" hidden="false" customHeight="false" outlineLevel="0" collapsed="false">
      <c r="A19" s="2"/>
      <c r="B19" s="2"/>
      <c r="C19" s="2"/>
      <c r="D19" s="4"/>
      <c r="E19" s="2"/>
      <c r="F19" s="14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4" t="s">
        <v>82</v>
      </c>
      <c r="B20" s="2"/>
      <c r="C20" s="3" t="s">
        <v>9</v>
      </c>
      <c r="D20" s="4" t="s">
        <v>83</v>
      </c>
      <c r="E20" s="6" t="s">
        <v>9</v>
      </c>
      <c r="F20" s="14" t="s">
        <v>84</v>
      </c>
      <c r="G20" s="4" t="s">
        <v>85</v>
      </c>
      <c r="H20" s="4" t="s">
        <v>86</v>
      </c>
      <c r="I20" s="4" t="s">
        <v>87</v>
      </c>
      <c r="J20" s="7" t="n">
        <v>0.952</v>
      </c>
      <c r="K20" s="6" t="s">
        <v>9</v>
      </c>
      <c r="L20" s="4" t="s">
        <v>88</v>
      </c>
      <c r="M20" s="4" t="s">
        <v>89</v>
      </c>
      <c r="N20" s="4" t="s">
        <v>90</v>
      </c>
    </row>
    <row r="21" customFormat="false" ht="15" hidden="false" customHeight="false" outlineLevel="0" collapsed="false">
      <c r="A21" s="4" t="s">
        <v>91</v>
      </c>
      <c r="B21" s="2"/>
      <c r="C21" s="3" t="s">
        <v>9</v>
      </c>
      <c r="D21" s="4" t="s">
        <v>92</v>
      </c>
      <c r="E21" s="6" t="s">
        <v>9</v>
      </c>
      <c r="F21" s="14" t="s">
        <v>93</v>
      </c>
      <c r="G21" s="14" t="s">
        <v>93</v>
      </c>
      <c r="H21" s="14" t="s">
        <v>93</v>
      </c>
      <c r="I21" s="6" t="s">
        <v>9</v>
      </c>
      <c r="J21" s="6" t="s">
        <v>9</v>
      </c>
      <c r="K21" s="6" t="s">
        <v>9</v>
      </c>
      <c r="L21" s="4" t="s">
        <v>93</v>
      </c>
      <c r="M21" s="6" t="s">
        <v>9</v>
      </c>
      <c r="N21" s="6" t="s">
        <v>9</v>
      </c>
    </row>
    <row r="22" customFormat="false" ht="12.8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3"/>
      <c r="M22" s="3"/>
      <c r="N22" s="3"/>
    </row>
    <row r="23" customFormat="false" ht="15" hidden="false" customHeight="false" outlineLevel="0" collapsed="false">
      <c r="A23" s="14" t="s">
        <v>94</v>
      </c>
      <c r="B23" s="2"/>
      <c r="C23" s="15" t="n">
        <v>516.74</v>
      </c>
      <c r="D23" s="15" t="n">
        <v>524.69</v>
      </c>
      <c r="E23" s="15" t="n">
        <v>550.1</v>
      </c>
      <c r="F23" s="16" t="s">
        <v>95</v>
      </c>
      <c r="G23" s="16" t="s">
        <v>96</v>
      </c>
      <c r="H23" s="16" t="s">
        <v>97</v>
      </c>
      <c r="I23" s="15" t="n">
        <v>613.5</v>
      </c>
      <c r="J23" s="15" t="n">
        <v>695.47</v>
      </c>
      <c r="K23" s="15" t="n">
        <v>817.36</v>
      </c>
      <c r="L23" s="17" t="s">
        <v>98</v>
      </c>
      <c r="M23" s="15" t="n">
        <v>817.51</v>
      </c>
      <c r="N23" s="15" t="n">
        <v>1071</v>
      </c>
    </row>
    <row r="24" customFormat="false" ht="12.8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2.8" hidden="false" customHeight="false" outlineLevel="0" collapsed="false">
      <c r="A25" s="2" t="s">
        <v>99</v>
      </c>
      <c r="B25" s="2"/>
      <c r="C25" s="2" t="n">
        <v>159</v>
      </c>
      <c r="D25" s="2" t="n">
        <v>182</v>
      </c>
      <c r="E25" s="2" t="n">
        <v>169</v>
      </c>
      <c r="F25" s="2" t="n">
        <v>164</v>
      </c>
      <c r="G25" s="2" t="n">
        <v>151</v>
      </c>
      <c r="H25" s="6" t="n">
        <v>142</v>
      </c>
      <c r="I25" s="6" t="s">
        <v>9</v>
      </c>
      <c r="J25" s="6" t="s">
        <v>9</v>
      </c>
      <c r="K25" s="6" t="s">
        <v>9</v>
      </c>
      <c r="L25" s="6" t="s">
        <v>9</v>
      </c>
      <c r="M25" s="6" t="s">
        <v>9</v>
      </c>
      <c r="N25" s="6" t="s">
        <v>9</v>
      </c>
    </row>
    <row r="26" customFormat="false" ht="12.8" hidden="false" customHeight="false" outlineLevel="0" collapsed="false">
      <c r="A26" s="2" t="s">
        <v>100</v>
      </c>
      <c r="B26" s="2"/>
      <c r="C26" s="6" t="s">
        <v>9</v>
      </c>
      <c r="D26" s="6" t="s">
        <v>9</v>
      </c>
      <c r="E26" s="6" t="s">
        <v>9</v>
      </c>
      <c r="F26" s="6" t="s">
        <v>9</v>
      </c>
      <c r="G26" s="6" t="s">
        <v>9</v>
      </c>
      <c r="H26" s="6" t="s">
        <v>9</v>
      </c>
      <c r="I26" s="6" t="s">
        <v>9</v>
      </c>
      <c r="J26" s="6" t="s">
        <v>9</v>
      </c>
      <c r="K26" s="6" t="s">
        <v>9</v>
      </c>
      <c r="L26" s="6" t="s">
        <v>9</v>
      </c>
      <c r="M26" s="6" t="s">
        <v>9</v>
      </c>
      <c r="N26" s="6" t="s">
        <v>9</v>
      </c>
    </row>
    <row r="27" customFormat="false" ht="12.8" hidden="false" customHeight="false" outlineLevel="0" collapsed="false">
      <c r="A27" s="2" t="s">
        <v>101</v>
      </c>
      <c r="B27" s="2"/>
      <c r="C27" s="2" t="n">
        <v>355</v>
      </c>
      <c r="D27" s="2" t="n">
        <v>371</v>
      </c>
      <c r="E27" s="2" t="n">
        <v>358</v>
      </c>
      <c r="F27" s="2" t="n">
        <v>364</v>
      </c>
      <c r="G27" s="2" t="n">
        <v>343</v>
      </c>
      <c r="H27" s="2" t="n">
        <v>328</v>
      </c>
      <c r="I27" s="2" t="n">
        <v>325</v>
      </c>
      <c r="J27" s="2" t="n">
        <v>307</v>
      </c>
      <c r="K27" s="2" t="n">
        <v>307</v>
      </c>
      <c r="L27" s="2" t="n">
        <v>281</v>
      </c>
      <c r="M27" s="2" t="n">
        <v>281</v>
      </c>
      <c r="N27" s="6" t="s">
        <v>9</v>
      </c>
    </row>
    <row r="28" customFormat="false" ht="12.8" hidden="false" customHeight="false" outlineLevel="0" collapsed="false">
      <c r="A28" s="18" t="s">
        <v>102</v>
      </c>
      <c r="C28" s="19" t="s">
        <v>9</v>
      </c>
      <c r="D28" s="19" t="s">
        <v>9</v>
      </c>
      <c r="E28" s="19" t="s">
        <v>9</v>
      </c>
      <c r="F28" s="19" t="s">
        <v>9</v>
      </c>
      <c r="G28" s="19" t="s">
        <v>9</v>
      </c>
      <c r="H28" s="19" t="s">
        <v>9</v>
      </c>
      <c r="I28" s="19" t="s">
        <v>9</v>
      </c>
      <c r="J28" s="19" t="s">
        <v>9</v>
      </c>
      <c r="K28" s="19" t="s">
        <v>9</v>
      </c>
      <c r="L28" s="19" t="s">
        <v>9</v>
      </c>
      <c r="M28" s="19" t="s">
        <v>9</v>
      </c>
      <c r="N28" s="19" t="s">
        <v>9</v>
      </c>
    </row>
    <row r="29" customFormat="false" ht="12.8" hidden="false" customHeight="true" outlineLevel="0" collapsed="false">
      <c r="A29" s="18" t="s">
        <v>103</v>
      </c>
      <c r="C29" s="19" t="s">
        <v>9</v>
      </c>
      <c r="D29" s="19" t="s">
        <v>9</v>
      </c>
      <c r="E29" s="19" t="s">
        <v>9</v>
      </c>
      <c r="F29" s="19" t="s">
        <v>9</v>
      </c>
      <c r="G29" s="19" t="s">
        <v>9</v>
      </c>
      <c r="H29" s="19" t="s">
        <v>9</v>
      </c>
      <c r="I29" s="19" t="s">
        <v>9</v>
      </c>
      <c r="J29" s="19" t="s">
        <v>9</v>
      </c>
      <c r="K29" s="19" t="s">
        <v>9</v>
      </c>
      <c r="L29" s="19" t="s">
        <v>9</v>
      </c>
      <c r="M29" s="19" t="s">
        <v>9</v>
      </c>
      <c r="N29" s="19" t="s">
        <v>9</v>
      </c>
    </row>
    <row r="31" customFormat="false" ht="12.8" hidden="false" customHeight="false" outlineLevel="0" collapsed="false">
      <c r="A31" s="20" t="s">
        <v>104</v>
      </c>
    </row>
    <row r="32" customFormat="false" ht="14.15" hidden="false" customHeight="false" outlineLevel="0" collapsed="false">
      <c r="A32" s="21" t="s">
        <v>105</v>
      </c>
    </row>
    <row r="34" customFormat="false" ht="12.8" hidden="false" customHeight="true" outlineLevel="0" collapsed="false">
      <c r="A34" s="1" t="s">
        <v>106</v>
      </c>
    </row>
    <row r="35" customFormat="false" ht="12.8" hidden="false" customHeight="true" outlineLevel="0" collapsed="false">
      <c r="A35" s="22"/>
      <c r="B35" s="0"/>
      <c r="C35" s="0"/>
    </row>
    <row r="36" customFormat="false" ht="12.8" hidden="false" customHeight="true" outlineLevel="0" collapsed="false">
      <c r="A36" s="23" t="s">
        <v>107</v>
      </c>
      <c r="B36" s="24" t="n">
        <v>31761</v>
      </c>
      <c r="C36" s="24" t="n">
        <v>113.5</v>
      </c>
    </row>
    <row r="53" customFormat="false" ht="12.8" hidden="false" customHeight="true" outlineLevel="0" collapsed="false">
      <c r="A53" s="25" t="s">
        <v>108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 customFormat="false" ht="12.8" hidden="false" customHeight="true" outlineLevel="0" collapsed="false">
      <c r="I54" s="1"/>
      <c r="K54" s="1"/>
      <c r="N54" s="1"/>
      <c r="O54" s="1"/>
      <c r="P54" s="1"/>
      <c r="Q54" s="1"/>
      <c r="R54" s="1"/>
    </row>
    <row r="55" customFormat="false" ht="12.8" hidden="false" customHeight="true" outlineLevel="0" collapsed="false">
      <c r="B55" s="26"/>
      <c r="C55" s="27"/>
      <c r="D55" s="28" t="s">
        <v>109</v>
      </c>
      <c r="E55" s="28" t="s">
        <v>110</v>
      </c>
      <c r="F55" s="28" t="s">
        <v>111</v>
      </c>
      <c r="G55" s="28" t="s">
        <v>112</v>
      </c>
      <c r="H55" s="28" t="s">
        <v>113</v>
      </c>
      <c r="I55" s="28" t="s">
        <v>114</v>
      </c>
      <c r="J55" s="28" t="s">
        <v>115</v>
      </c>
      <c r="K55" s="28" t="s">
        <v>116</v>
      </c>
      <c r="L55" s="28" t="s">
        <v>117</v>
      </c>
      <c r="M55" s="28" t="s">
        <v>118</v>
      </c>
      <c r="N55" s="28" t="s">
        <v>119</v>
      </c>
      <c r="O55" s="28" t="s">
        <v>120</v>
      </c>
      <c r="P55" s="28" t="s">
        <v>121</v>
      </c>
      <c r="Q55" s="28" t="s">
        <v>122</v>
      </c>
    </row>
    <row r="56" customFormat="false" ht="12.8" hidden="false" customHeight="true" outlineLevel="0" collapsed="false">
      <c r="B56" s="29"/>
      <c r="C56" s="30"/>
      <c r="D56" s="31" t="s">
        <v>123</v>
      </c>
      <c r="E56" s="31" t="s">
        <v>123</v>
      </c>
      <c r="F56" s="31" t="s">
        <v>123</v>
      </c>
      <c r="G56" s="31" t="s">
        <v>123</v>
      </c>
      <c r="H56" s="31" t="s">
        <v>123</v>
      </c>
      <c r="I56" s="31" t="s">
        <v>123</v>
      </c>
      <c r="J56" s="31" t="s">
        <v>123</v>
      </c>
      <c r="K56" s="31" t="s">
        <v>123</v>
      </c>
      <c r="L56" s="31" t="s">
        <v>123</v>
      </c>
      <c r="M56" s="31" t="s">
        <v>123</v>
      </c>
      <c r="N56" s="31" t="s">
        <v>123</v>
      </c>
      <c r="O56" s="31" t="s">
        <v>123</v>
      </c>
      <c r="P56" s="31" t="s">
        <v>123</v>
      </c>
      <c r="Q56" s="31" t="s">
        <v>123</v>
      </c>
    </row>
    <row r="57" customFormat="false" ht="12.8" hidden="false" customHeight="true" outlineLevel="0" collapsed="false">
      <c r="B57" s="32" t="s">
        <v>124</v>
      </c>
      <c r="C57" s="32"/>
      <c r="D57" s="33" t="e">
        <f aca="false">SUM(D113,D108,D101,#REF!,#REF!,D86,D77,D69,D65,D58)</f>
        <v>#REF!</v>
      </c>
      <c r="E57" s="33" t="e">
        <f aca="false">SUM(E113,E108,E101,#REF!,#REF!,E86,E77,E69,E65,E58)</f>
        <v>#REF!</v>
      </c>
      <c r="F57" s="33" t="e">
        <f aca="false">SUM(F113,F108,F101,#REF!,#REF!,F86,F77,F69,F65,F58)</f>
        <v>#REF!</v>
      </c>
      <c r="G57" s="33" t="e">
        <f aca="false">SUM(G113,G108,G101,#REF!,#REF!,G86,G77,G69,G65,G58)</f>
        <v>#REF!</v>
      </c>
      <c r="H57" s="33" t="e">
        <f aca="false">SUM(H113,H108,H101,#REF!,#REF!,H86,H77,H69,H65,H58)</f>
        <v>#REF!</v>
      </c>
      <c r="I57" s="33" t="e">
        <f aca="false">SUM(I113,I108,I101,#REF!,#REF!,I86,I77,I69,I65,I58)</f>
        <v>#REF!</v>
      </c>
      <c r="J57" s="33" t="e">
        <f aca="false">SUM(J113,J108,J101,#REF!,#REF!,J86,J77,J69,J65,J58)</f>
        <v>#REF!</v>
      </c>
      <c r="K57" s="33" t="e">
        <f aca="false">SUM(K113,K108,K101,#REF!,#REF!,K86,K77,K69,K65,K58)</f>
        <v>#REF!</v>
      </c>
      <c r="L57" s="33" t="e">
        <f aca="false">SUM(L113,L108,L101,#REF!,#REF!,L86,L77,L69,L65,L58)</f>
        <v>#REF!</v>
      </c>
      <c r="M57" s="33" t="e">
        <f aca="false">SUM(M113,M108,M101,#REF!,#REF!,M86,M77,M69,M65,M58)</f>
        <v>#REF!</v>
      </c>
      <c r="N57" s="33" t="e">
        <f aca="false">SUM(N113,N108,N101,#REF!,#REF!,N86,N77,N69,N65,N58)</f>
        <v>#REF!</v>
      </c>
      <c r="O57" s="33" t="e">
        <f aca="false">SUM(O113,O108,O101,#REF!,#REF!,O86,O77,O69,O65,O58)</f>
        <v>#REF!</v>
      </c>
      <c r="P57" s="33" t="e">
        <f aca="false">SUM(P113,P108,P101,#REF!,#REF!,P86,P77,P69,P65,P58)</f>
        <v>#REF!</v>
      </c>
      <c r="Q57" s="33" t="e">
        <f aca="false">SUM(Q113,Q108,Q101,#REF!,#REF!,Q86,Q77,Q69,Q65,Q58)</f>
        <v>#REF!</v>
      </c>
    </row>
    <row r="58" customFormat="false" ht="12.8" hidden="false" customHeight="true" outlineLevel="0" collapsed="false">
      <c r="B58" s="34" t="s">
        <v>125</v>
      </c>
      <c r="C58" s="35" t="s">
        <v>126</v>
      </c>
      <c r="D58" s="36" t="n">
        <f aca="false">SUM(D59:D64)</f>
        <v>793</v>
      </c>
      <c r="E58" s="36" t="n">
        <f aca="false">SUM(E59:E64)</f>
        <v>762</v>
      </c>
      <c r="F58" s="36" t="n">
        <f aca="false">SUM(F59:F64)</f>
        <v>737</v>
      </c>
      <c r="G58" s="36" t="n">
        <f aca="false">SUM(G59:G64)</f>
        <v>742</v>
      </c>
      <c r="H58" s="36" t="n">
        <f aca="false">SUM(H59:H64)</f>
        <v>774</v>
      </c>
      <c r="I58" s="36" t="n">
        <f aca="false">SUM(I59:I64)</f>
        <v>746</v>
      </c>
      <c r="J58" s="36" t="n">
        <f aca="false">SUM(J59:J64)</f>
        <v>770</v>
      </c>
      <c r="K58" s="36" t="n">
        <f aca="false">SUM(K59:K64)</f>
        <v>732</v>
      </c>
      <c r="L58" s="36" t="n">
        <f aca="false">SUM(L59:L64)</f>
        <v>709</v>
      </c>
      <c r="M58" s="36" t="n">
        <f aca="false">SUM(M59:M64)</f>
        <v>718</v>
      </c>
      <c r="N58" s="36" t="n">
        <f aca="false">SUM(N59:N64)</f>
        <v>714</v>
      </c>
      <c r="O58" s="36" t="n">
        <f aca="false">SUM(O59:O64)</f>
        <v>719</v>
      </c>
      <c r="P58" s="36" t="n">
        <f aca="false">SUM(P59:P64)</f>
        <v>685</v>
      </c>
      <c r="Q58" s="37" t="n">
        <f aca="false">SUM(Q59:Q64)</f>
        <v>692</v>
      </c>
    </row>
    <row r="59" customFormat="false" ht="12.8" hidden="false" customHeight="true" outlineLevel="0" collapsed="false">
      <c r="B59" s="34"/>
      <c r="C59" s="38" t="s">
        <v>127</v>
      </c>
      <c r="D59" s="39" t="n">
        <v>157</v>
      </c>
      <c r="E59" s="40" t="n">
        <v>158</v>
      </c>
      <c r="F59" s="39" t="n">
        <v>153</v>
      </c>
      <c r="G59" s="40" t="n">
        <v>155</v>
      </c>
      <c r="H59" s="39" t="n">
        <v>163</v>
      </c>
      <c r="I59" s="40" t="n">
        <v>155</v>
      </c>
      <c r="J59" s="40" t="n">
        <v>157</v>
      </c>
      <c r="K59" s="40" t="n">
        <v>153</v>
      </c>
      <c r="L59" s="40" t="n">
        <v>153</v>
      </c>
      <c r="M59" s="40" t="n">
        <v>152</v>
      </c>
      <c r="N59" s="40" t="n">
        <v>155</v>
      </c>
      <c r="O59" s="40" t="n">
        <v>155</v>
      </c>
      <c r="P59" s="40" t="n">
        <v>152</v>
      </c>
      <c r="Q59" s="40" t="n">
        <v>154</v>
      </c>
    </row>
    <row r="60" customFormat="false" ht="12.8" hidden="false" customHeight="true" outlineLevel="0" collapsed="false">
      <c r="B60" s="34"/>
      <c r="C60" s="38" t="s">
        <v>128</v>
      </c>
      <c r="D60" s="39" t="n">
        <v>80</v>
      </c>
      <c r="E60" s="40" t="n">
        <v>76</v>
      </c>
      <c r="F60" s="39" t="n">
        <v>71</v>
      </c>
      <c r="G60" s="40" t="n">
        <v>72</v>
      </c>
      <c r="H60" s="39" t="n">
        <v>71</v>
      </c>
      <c r="I60" s="40" t="n">
        <v>68</v>
      </c>
      <c r="J60" s="40" t="n">
        <v>70</v>
      </c>
      <c r="K60" s="40" t="n">
        <v>66</v>
      </c>
      <c r="L60" s="40" t="n">
        <v>63</v>
      </c>
      <c r="M60" s="40" t="n">
        <v>61</v>
      </c>
      <c r="N60" s="40" t="n">
        <v>64</v>
      </c>
      <c r="O60" s="40" t="n">
        <v>72</v>
      </c>
      <c r="P60" s="40" t="n">
        <v>64</v>
      </c>
      <c r="Q60" s="40" t="n">
        <v>70</v>
      </c>
    </row>
    <row r="61" customFormat="false" ht="12.8" hidden="false" customHeight="true" outlineLevel="0" collapsed="false">
      <c r="B61" s="34"/>
      <c r="C61" s="38" t="s">
        <v>129</v>
      </c>
      <c r="D61" s="39" t="n">
        <v>374</v>
      </c>
      <c r="E61" s="40" t="n">
        <v>354</v>
      </c>
      <c r="F61" s="39" t="n">
        <v>349</v>
      </c>
      <c r="G61" s="40" t="n">
        <v>355</v>
      </c>
      <c r="H61" s="39" t="n">
        <v>371</v>
      </c>
      <c r="I61" s="40" t="n">
        <v>358</v>
      </c>
      <c r="J61" s="40" t="n">
        <v>364</v>
      </c>
      <c r="K61" s="40" t="n">
        <v>343</v>
      </c>
      <c r="L61" s="40" t="n">
        <v>328</v>
      </c>
      <c r="M61" s="40" t="n">
        <v>325</v>
      </c>
      <c r="N61" s="40" t="n">
        <v>307</v>
      </c>
      <c r="O61" s="40" t="n">
        <v>307</v>
      </c>
      <c r="P61" s="40" t="n">
        <v>284</v>
      </c>
      <c r="Q61" s="40" t="n">
        <v>281</v>
      </c>
    </row>
    <row r="62" customFormat="false" ht="12.8" hidden="false" customHeight="true" outlineLevel="0" collapsed="false">
      <c r="B62" s="34"/>
      <c r="C62" s="38" t="s">
        <v>130</v>
      </c>
      <c r="D62" s="39" t="n">
        <v>67</v>
      </c>
      <c r="E62" s="40" t="n">
        <v>59</v>
      </c>
      <c r="F62" s="39" t="n">
        <v>56</v>
      </c>
      <c r="G62" s="40" t="n">
        <v>55</v>
      </c>
      <c r="H62" s="39" t="n">
        <v>58</v>
      </c>
      <c r="I62" s="40" t="n">
        <v>54</v>
      </c>
      <c r="J62" s="40" t="n">
        <v>54</v>
      </c>
      <c r="K62" s="40" t="n">
        <v>49</v>
      </c>
      <c r="L62" s="40" t="n">
        <v>51</v>
      </c>
      <c r="M62" s="40" t="n">
        <v>62</v>
      </c>
      <c r="N62" s="40" t="n">
        <v>61</v>
      </c>
      <c r="O62" s="40" t="n">
        <v>60</v>
      </c>
      <c r="P62" s="40" t="n">
        <v>61</v>
      </c>
      <c r="Q62" s="40" t="n">
        <v>61</v>
      </c>
    </row>
    <row r="63" customFormat="false" ht="12.8" hidden="false" customHeight="true" outlineLevel="0" collapsed="false">
      <c r="B63" s="34"/>
      <c r="C63" s="38" t="s">
        <v>131</v>
      </c>
      <c r="D63" s="39" t="n">
        <v>66</v>
      </c>
      <c r="E63" s="40" t="n">
        <v>64</v>
      </c>
      <c r="F63" s="39" t="n">
        <v>64</v>
      </c>
      <c r="G63" s="40" t="n">
        <v>60</v>
      </c>
      <c r="H63" s="39" t="n">
        <v>63</v>
      </c>
      <c r="I63" s="40" t="n">
        <v>62</v>
      </c>
      <c r="J63" s="40" t="n">
        <v>70</v>
      </c>
      <c r="K63" s="40" t="n">
        <v>67</v>
      </c>
      <c r="L63" s="40" t="n">
        <v>64</v>
      </c>
      <c r="M63" s="40" t="n">
        <v>66</v>
      </c>
      <c r="N63" s="40" t="n">
        <v>70</v>
      </c>
      <c r="O63" s="40" t="n">
        <v>72</v>
      </c>
      <c r="P63" s="40" t="n">
        <v>71</v>
      </c>
      <c r="Q63" s="40" t="n">
        <v>74</v>
      </c>
    </row>
    <row r="64" customFormat="false" ht="12.8" hidden="false" customHeight="true" outlineLevel="0" collapsed="false">
      <c r="B64" s="34"/>
      <c r="C64" s="41" t="s">
        <v>132</v>
      </c>
      <c r="D64" s="42" t="n">
        <v>49</v>
      </c>
      <c r="E64" s="43" t="n">
        <v>51</v>
      </c>
      <c r="F64" s="42" t="n">
        <v>44</v>
      </c>
      <c r="G64" s="43" t="n">
        <v>45</v>
      </c>
      <c r="H64" s="42" t="n">
        <v>48</v>
      </c>
      <c r="I64" s="43" t="n">
        <v>49</v>
      </c>
      <c r="J64" s="43" t="n">
        <v>55</v>
      </c>
      <c r="K64" s="43" t="n">
        <v>54</v>
      </c>
      <c r="L64" s="43" t="n">
        <v>50</v>
      </c>
      <c r="M64" s="43" t="n">
        <v>52</v>
      </c>
      <c r="N64" s="43" t="n">
        <v>57</v>
      </c>
      <c r="O64" s="43" t="n">
        <v>53</v>
      </c>
      <c r="P64" s="43" t="n">
        <v>53</v>
      </c>
      <c r="Q64" s="43" t="n">
        <v>52</v>
      </c>
    </row>
    <row r="65" customFormat="false" ht="12.8" hidden="false" customHeight="true" outlineLevel="0" collapsed="false">
      <c r="B65" s="44" t="s">
        <v>133</v>
      </c>
      <c r="C65" s="35" t="s">
        <v>126</v>
      </c>
      <c r="D65" s="37" t="n">
        <f aca="false">SUM(D66:D68)</f>
        <v>1548</v>
      </c>
      <c r="E65" s="37" t="n">
        <f aca="false">SUM(E66:E68)</f>
        <v>1439</v>
      </c>
      <c r="F65" s="37" t="n">
        <f aca="false">SUM(F66:F68)</f>
        <v>1372</v>
      </c>
      <c r="G65" s="37" t="n">
        <f aca="false">SUM(G66:G68)</f>
        <v>1260</v>
      </c>
      <c r="H65" s="37" t="n">
        <f aca="false">SUM(H66:H68)</f>
        <v>1399</v>
      </c>
      <c r="I65" s="37" t="n">
        <f aca="false">SUM(I66:I68)</f>
        <v>1321</v>
      </c>
      <c r="J65" s="37" t="n">
        <f aca="false">SUM(J66:J68)</f>
        <v>1400</v>
      </c>
      <c r="K65" s="37" t="n">
        <f aca="false">SUM(K66:K68)</f>
        <v>1336</v>
      </c>
      <c r="L65" s="37" t="n">
        <f aca="false">SUM(L66:L68)</f>
        <v>1241</v>
      </c>
      <c r="M65" s="37" t="n">
        <f aca="false">SUM(M66:M68)</f>
        <v>1381</v>
      </c>
      <c r="N65" s="37" t="n">
        <f aca="false">SUM(N66:N68)</f>
        <v>1306</v>
      </c>
      <c r="O65" s="37" t="n">
        <f aca="false">SUM(O66:O68)</f>
        <v>1278</v>
      </c>
      <c r="P65" s="37" t="n">
        <f aca="false">SUM(P66:P68)</f>
        <v>1380</v>
      </c>
      <c r="Q65" s="37" t="n">
        <f aca="false">SUM(Q66:Q68)</f>
        <v>1398</v>
      </c>
    </row>
    <row r="66" customFormat="false" ht="12.8" hidden="false" customHeight="true" outlineLevel="0" collapsed="false">
      <c r="B66" s="44"/>
      <c r="C66" s="38" t="s">
        <v>134</v>
      </c>
      <c r="D66" s="39" t="n">
        <v>363</v>
      </c>
      <c r="E66" s="40" t="n">
        <v>355</v>
      </c>
      <c r="F66" s="39" t="n">
        <v>360</v>
      </c>
      <c r="G66" s="40" t="n">
        <v>354</v>
      </c>
      <c r="H66" s="39" t="n">
        <v>362</v>
      </c>
      <c r="I66" s="40" t="n">
        <v>349</v>
      </c>
      <c r="J66" s="40" t="n">
        <v>353</v>
      </c>
      <c r="K66" s="40" t="n">
        <v>344</v>
      </c>
      <c r="L66" s="40" t="n">
        <v>338</v>
      </c>
      <c r="M66" s="40" t="n">
        <v>342</v>
      </c>
      <c r="N66" s="40" t="n">
        <v>342</v>
      </c>
      <c r="O66" s="40" t="n">
        <v>366</v>
      </c>
      <c r="P66" s="40" t="n">
        <v>373</v>
      </c>
      <c r="Q66" s="40" t="n">
        <v>354</v>
      </c>
    </row>
    <row r="67" customFormat="false" ht="12.8" hidden="false" customHeight="true" outlineLevel="0" collapsed="false">
      <c r="B67" s="44"/>
      <c r="C67" s="38" t="s">
        <v>135</v>
      </c>
      <c r="D67" s="39" t="n">
        <v>1011</v>
      </c>
      <c r="E67" s="40" t="n">
        <v>925</v>
      </c>
      <c r="F67" s="39" t="n">
        <v>857</v>
      </c>
      <c r="G67" s="40" t="n">
        <v>777</v>
      </c>
      <c r="H67" s="39" t="n">
        <v>886</v>
      </c>
      <c r="I67" s="40" t="n">
        <v>829</v>
      </c>
      <c r="J67" s="40" t="n">
        <v>911</v>
      </c>
      <c r="K67" s="40" t="n">
        <v>861</v>
      </c>
      <c r="L67" s="40" t="n">
        <v>784</v>
      </c>
      <c r="M67" s="40" t="n">
        <v>925</v>
      </c>
      <c r="N67" s="40" t="n">
        <v>845</v>
      </c>
      <c r="O67" s="40" t="n">
        <v>781</v>
      </c>
      <c r="P67" s="40" t="n">
        <v>886</v>
      </c>
      <c r="Q67" s="40" t="n">
        <v>922</v>
      </c>
    </row>
    <row r="68" customFormat="false" ht="12.8" hidden="false" customHeight="true" outlineLevel="0" collapsed="false">
      <c r="B68" s="44"/>
      <c r="C68" s="38" t="s">
        <v>136</v>
      </c>
      <c r="D68" s="39" t="n">
        <v>174</v>
      </c>
      <c r="E68" s="40" t="n">
        <v>159</v>
      </c>
      <c r="F68" s="39" t="n">
        <v>155</v>
      </c>
      <c r="G68" s="40" t="n">
        <v>129</v>
      </c>
      <c r="H68" s="39" t="n">
        <v>151</v>
      </c>
      <c r="I68" s="40" t="n">
        <v>143</v>
      </c>
      <c r="J68" s="40" t="n">
        <v>136</v>
      </c>
      <c r="K68" s="40" t="n">
        <v>131</v>
      </c>
      <c r="L68" s="40" t="n">
        <v>119</v>
      </c>
      <c r="M68" s="40" t="n">
        <v>114</v>
      </c>
      <c r="N68" s="40" t="n">
        <v>119</v>
      </c>
      <c r="O68" s="40" t="n">
        <v>131</v>
      </c>
      <c r="P68" s="40" t="n">
        <v>121</v>
      </c>
      <c r="Q68" s="40" t="n">
        <v>122</v>
      </c>
    </row>
    <row r="69" customFormat="false" ht="12.8" hidden="false" customHeight="true" outlineLevel="0" collapsed="false">
      <c r="B69" s="45" t="s">
        <v>137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</row>
    <row r="70" customFormat="false" ht="12.8" hidden="false" customHeight="true" outlineLevel="0" collapsed="false">
      <c r="B70" s="46"/>
      <c r="C70" s="46" t="n">
        <v>2002</v>
      </c>
      <c r="D70" s="46" t="n">
        <v>2003</v>
      </c>
      <c r="E70" s="46" t="n">
        <v>2004</v>
      </c>
      <c r="F70" s="46" t="n">
        <v>2005</v>
      </c>
      <c r="G70" s="46" t="n">
        <v>2006</v>
      </c>
      <c r="H70" s="46" t="n">
        <v>2007</v>
      </c>
      <c r="I70" s="46" t="n">
        <v>2008</v>
      </c>
      <c r="J70" s="46" t="n">
        <v>2009</v>
      </c>
      <c r="K70" s="46" t="n">
        <v>2010</v>
      </c>
      <c r="L70" s="46" t="n">
        <v>2011</v>
      </c>
      <c r="M70" s="46" t="n">
        <v>2012</v>
      </c>
      <c r="N70" s="46" t="n">
        <v>2013</v>
      </c>
      <c r="O70" s="46" t="n">
        <v>2014</v>
      </c>
      <c r="P70" s="46" t="n">
        <v>2015</v>
      </c>
      <c r="Q70" s="46" t="n">
        <v>2016</v>
      </c>
      <c r="R70" s="46" t="n">
        <v>2017</v>
      </c>
      <c r="S70" s="46" t="n">
        <v>2018</v>
      </c>
    </row>
    <row r="71" customFormat="false" ht="12.8" hidden="false" customHeight="true" outlineLevel="0" collapsed="false">
      <c r="B71" s="47" t="s">
        <v>138</v>
      </c>
      <c r="C71" s="48" t="n">
        <v>6839</v>
      </c>
      <c r="D71" s="48" t="n">
        <v>7002</v>
      </c>
      <c r="E71" s="48" t="n">
        <v>6946</v>
      </c>
      <c r="F71" s="48" t="n">
        <v>7282</v>
      </c>
      <c r="G71" s="48" t="n">
        <v>7084</v>
      </c>
      <c r="H71" s="48" t="n">
        <v>6927</v>
      </c>
      <c r="I71" s="48" t="n">
        <v>7027</v>
      </c>
      <c r="J71" s="48" t="n">
        <v>8271</v>
      </c>
      <c r="K71" s="48" t="n">
        <v>9171</v>
      </c>
      <c r="L71" s="48" t="n">
        <v>8212</v>
      </c>
      <c r="M71" s="48" t="n">
        <v>7511</v>
      </c>
      <c r="N71" s="48" t="n">
        <v>7084</v>
      </c>
      <c r="O71" s="48" t="n">
        <v>8685</v>
      </c>
      <c r="P71" s="48" t="n">
        <v>7932</v>
      </c>
      <c r="Q71" s="48" t="n">
        <v>8326</v>
      </c>
      <c r="R71" s="48" t="n">
        <v>7258</v>
      </c>
      <c r="S71" s="48" t="n">
        <v>6782</v>
      </c>
    </row>
    <row r="72" customFormat="false" ht="12.8" hidden="false" customHeight="true" outlineLevel="0" collapsed="false">
      <c r="B72" s="49" t="s">
        <v>125</v>
      </c>
      <c r="C72" s="49" t="n">
        <v>312</v>
      </c>
      <c r="D72" s="49" t="n">
        <v>293</v>
      </c>
      <c r="E72" s="49" t="n">
        <v>315</v>
      </c>
      <c r="F72" s="49" t="n">
        <v>309</v>
      </c>
      <c r="G72" s="49" t="n">
        <v>297</v>
      </c>
      <c r="H72" s="49" t="n">
        <v>315</v>
      </c>
      <c r="I72" s="49" t="n">
        <v>297</v>
      </c>
      <c r="J72" s="49" t="n">
        <v>325</v>
      </c>
      <c r="K72" s="49" t="n">
        <v>373</v>
      </c>
      <c r="L72" s="49" t="n">
        <v>361</v>
      </c>
      <c r="M72" s="49" t="n">
        <v>331</v>
      </c>
      <c r="N72" s="49" t="n">
        <v>329</v>
      </c>
      <c r="O72" s="49" t="n">
        <v>370</v>
      </c>
      <c r="P72" s="49" t="n">
        <v>349</v>
      </c>
      <c r="Q72" s="49" t="n">
        <v>344</v>
      </c>
      <c r="R72" s="49" t="n">
        <v>322</v>
      </c>
      <c r="S72" s="49" t="n">
        <v>308</v>
      </c>
    </row>
    <row r="73" customFormat="false" ht="12.8" hidden="false" customHeight="true" outlineLevel="0" collapsed="false">
      <c r="B73" s="47" t="s">
        <v>127</v>
      </c>
      <c r="C73" s="47" t="n">
        <v>61</v>
      </c>
      <c r="D73" s="47" t="n">
        <v>56</v>
      </c>
      <c r="E73" s="47" t="n">
        <v>68</v>
      </c>
      <c r="F73" s="47" t="n">
        <v>66</v>
      </c>
      <c r="G73" s="47" t="n">
        <v>56</v>
      </c>
      <c r="H73" s="47" t="n">
        <v>60</v>
      </c>
      <c r="I73" s="47" t="n">
        <v>56</v>
      </c>
      <c r="J73" s="47" t="n">
        <v>68</v>
      </c>
      <c r="K73" s="47" t="n">
        <v>71</v>
      </c>
      <c r="L73" s="47" t="n">
        <v>73</v>
      </c>
      <c r="M73" s="47" t="n">
        <v>68</v>
      </c>
      <c r="N73" s="47" t="n">
        <v>70</v>
      </c>
      <c r="O73" s="47" t="n">
        <v>77</v>
      </c>
      <c r="P73" s="47" t="n">
        <v>71</v>
      </c>
      <c r="Q73" s="47" t="n">
        <v>68</v>
      </c>
      <c r="R73" s="47" t="n">
        <v>68</v>
      </c>
      <c r="S73" s="47" t="n">
        <v>68</v>
      </c>
    </row>
    <row r="74" customFormat="false" ht="12.8" hidden="false" customHeight="true" outlineLevel="0" collapsed="false">
      <c r="B74" s="47" t="s">
        <v>128</v>
      </c>
      <c r="C74" s="47" t="n">
        <v>39</v>
      </c>
      <c r="D74" s="47" t="n">
        <v>37</v>
      </c>
      <c r="E74" s="47" t="n">
        <v>41</v>
      </c>
      <c r="F74" s="47" t="n">
        <v>41</v>
      </c>
      <c r="G74" s="47" t="n">
        <v>39</v>
      </c>
      <c r="H74" s="47" t="n">
        <v>39</v>
      </c>
      <c r="I74" s="47" t="n">
        <v>35</v>
      </c>
      <c r="J74" s="47" t="n">
        <v>36</v>
      </c>
      <c r="K74" s="47" t="n">
        <v>37</v>
      </c>
      <c r="L74" s="47" t="n">
        <v>36</v>
      </c>
      <c r="M74" s="47" t="n">
        <v>32</v>
      </c>
      <c r="N74" s="47" t="n">
        <v>34</v>
      </c>
      <c r="O74" s="47" t="n">
        <v>37</v>
      </c>
      <c r="P74" s="47" t="n">
        <v>34</v>
      </c>
      <c r="Q74" s="47" t="n">
        <v>35</v>
      </c>
      <c r="R74" s="47" t="n">
        <v>30</v>
      </c>
      <c r="S74" s="47" t="n">
        <v>29</v>
      </c>
    </row>
    <row r="75" customFormat="false" ht="12.8" hidden="false" customHeight="true" outlineLevel="0" collapsed="false">
      <c r="B75" s="47" t="s">
        <v>129</v>
      </c>
      <c r="C75" s="47" t="n">
        <v>154</v>
      </c>
      <c r="D75" s="47" t="n">
        <v>141</v>
      </c>
      <c r="E75" s="47" t="n">
        <v>144</v>
      </c>
      <c r="F75" s="47" t="n">
        <v>142</v>
      </c>
      <c r="G75" s="47" t="n">
        <v>145</v>
      </c>
      <c r="H75" s="47" t="n">
        <v>153</v>
      </c>
      <c r="I75" s="47" t="n">
        <v>146</v>
      </c>
      <c r="J75" s="47" t="n">
        <v>155</v>
      </c>
      <c r="K75" s="47" t="n">
        <v>189</v>
      </c>
      <c r="L75" s="47" t="n">
        <v>180</v>
      </c>
      <c r="M75" s="47" t="n">
        <v>163</v>
      </c>
      <c r="N75" s="47" t="n">
        <v>159</v>
      </c>
      <c r="O75" s="47" t="n">
        <v>182</v>
      </c>
      <c r="P75" s="47" t="n">
        <v>169</v>
      </c>
      <c r="Q75" s="47" t="n">
        <v>164</v>
      </c>
      <c r="R75" s="47" t="n">
        <v>151</v>
      </c>
      <c r="S75" s="47" t="n">
        <v>142</v>
      </c>
    </row>
    <row r="76" customFormat="false" ht="12.8" hidden="false" customHeight="true" outlineLevel="0" collapsed="false">
      <c r="B76" s="47" t="s">
        <v>130</v>
      </c>
      <c r="C76" s="47" t="n">
        <v>25</v>
      </c>
      <c r="D76" s="47" t="n">
        <v>26</v>
      </c>
      <c r="E76" s="47" t="n">
        <v>24</v>
      </c>
      <c r="F76" s="47" t="n">
        <v>22</v>
      </c>
      <c r="G76" s="47" t="n">
        <v>22</v>
      </c>
      <c r="H76" s="47" t="n">
        <v>23</v>
      </c>
      <c r="I76" s="47" t="n">
        <v>23</v>
      </c>
      <c r="J76" s="47" t="n">
        <v>26</v>
      </c>
      <c r="K76" s="47" t="n">
        <v>30</v>
      </c>
      <c r="L76" s="47" t="n">
        <v>26</v>
      </c>
      <c r="M76" s="47" t="n">
        <v>24</v>
      </c>
      <c r="N76" s="47" t="n">
        <v>24</v>
      </c>
      <c r="O76" s="47" t="n">
        <v>27</v>
      </c>
      <c r="P76" s="47" t="n">
        <v>26</v>
      </c>
      <c r="Q76" s="47" t="n">
        <v>24</v>
      </c>
      <c r="R76" s="47" t="n">
        <v>22</v>
      </c>
      <c r="S76" s="47" t="n">
        <v>21</v>
      </c>
    </row>
    <row r="77" customFormat="false" ht="12.8" hidden="false" customHeight="true" outlineLevel="0" collapsed="false">
      <c r="B77" s="47" t="s">
        <v>131</v>
      </c>
      <c r="C77" s="47" t="n">
        <v>21</v>
      </c>
      <c r="D77" s="47" t="n">
        <v>21</v>
      </c>
      <c r="E77" s="47" t="n">
        <v>24</v>
      </c>
      <c r="F77" s="47" t="n">
        <v>24</v>
      </c>
      <c r="G77" s="47" t="n">
        <v>23</v>
      </c>
      <c r="H77" s="47" t="n">
        <v>24</v>
      </c>
      <c r="I77" s="47" t="n">
        <v>21</v>
      </c>
      <c r="J77" s="47" t="n">
        <v>26</v>
      </c>
      <c r="K77" s="47" t="n">
        <v>29</v>
      </c>
      <c r="L77" s="47" t="n">
        <v>28</v>
      </c>
      <c r="M77" s="47" t="n">
        <v>29</v>
      </c>
      <c r="N77" s="47" t="n">
        <v>27</v>
      </c>
      <c r="O77" s="47" t="n">
        <v>29</v>
      </c>
      <c r="P77" s="47" t="n">
        <v>31</v>
      </c>
      <c r="Q77" s="47" t="n">
        <v>34</v>
      </c>
      <c r="R77" s="47" t="n">
        <v>33</v>
      </c>
      <c r="S77" s="47" t="n">
        <v>31</v>
      </c>
    </row>
    <row r="78" customFormat="false" ht="12.8" hidden="false" customHeight="true" outlineLevel="0" collapsed="false">
      <c r="B78" s="47" t="s">
        <v>132</v>
      </c>
      <c r="C78" s="47" t="n">
        <v>12</v>
      </c>
      <c r="D78" s="47" t="n">
        <v>12</v>
      </c>
      <c r="E78" s="47" t="n">
        <v>14</v>
      </c>
      <c r="F78" s="47" t="n">
        <v>14</v>
      </c>
      <c r="G78" s="47" t="n">
        <v>12</v>
      </c>
      <c r="H78" s="47" t="n">
        <v>16</v>
      </c>
      <c r="I78" s="47" t="n">
        <v>16</v>
      </c>
      <c r="J78" s="47" t="n">
        <v>14</v>
      </c>
      <c r="K78" s="47" t="n">
        <v>17</v>
      </c>
      <c r="L78" s="47" t="n">
        <v>18</v>
      </c>
      <c r="M78" s="47" t="n">
        <v>15</v>
      </c>
      <c r="N78" s="47" t="n">
        <v>15</v>
      </c>
      <c r="O78" s="47" t="n">
        <v>18</v>
      </c>
      <c r="P78" s="47" t="n">
        <v>18</v>
      </c>
      <c r="Q78" s="47" t="n">
        <v>19</v>
      </c>
      <c r="R78" s="47" t="n">
        <v>18</v>
      </c>
      <c r="S78" s="47" t="n">
        <v>17</v>
      </c>
    </row>
    <row r="79" customFormat="false" ht="12.8" hidden="false" customHeight="true" outlineLevel="0" collapsed="false">
      <c r="B79" s="49" t="s">
        <v>133</v>
      </c>
      <c r="C79" s="49" t="n">
        <v>605</v>
      </c>
      <c r="D79" s="49" t="n">
        <v>732</v>
      </c>
      <c r="E79" s="49" t="n">
        <v>668</v>
      </c>
      <c r="F79" s="49" t="n">
        <v>711</v>
      </c>
      <c r="G79" s="49" t="n">
        <v>669</v>
      </c>
      <c r="H79" s="49" t="n">
        <v>644</v>
      </c>
      <c r="I79" s="49" t="n">
        <v>694</v>
      </c>
      <c r="J79" s="49" t="n">
        <v>854</v>
      </c>
      <c r="K79" s="49" t="n">
        <v>848</v>
      </c>
      <c r="L79" s="49" t="n">
        <v>782</v>
      </c>
      <c r="M79" s="49" t="n">
        <v>726</v>
      </c>
      <c r="N79" s="49" t="n">
        <v>654</v>
      </c>
      <c r="O79" s="49" t="n">
        <v>794</v>
      </c>
      <c r="P79" s="49" t="n">
        <v>699</v>
      </c>
      <c r="Q79" s="49" t="n">
        <v>753</v>
      </c>
      <c r="R79" s="49" t="n">
        <v>701</v>
      </c>
      <c r="S79" s="49" t="n">
        <v>630</v>
      </c>
    </row>
    <row r="80" customFormat="false" ht="12.8" hidden="false" customHeight="true" outlineLevel="0" collapsed="false">
      <c r="B80" s="47" t="s">
        <v>134</v>
      </c>
      <c r="C80" s="47" t="n">
        <v>171</v>
      </c>
      <c r="D80" s="47" t="n">
        <v>138</v>
      </c>
      <c r="E80" s="47" t="n">
        <v>129</v>
      </c>
      <c r="F80" s="47" t="n">
        <v>163</v>
      </c>
      <c r="G80" s="47" t="n">
        <v>160</v>
      </c>
      <c r="H80" s="47" t="n">
        <v>155</v>
      </c>
      <c r="I80" s="47" t="n">
        <v>180</v>
      </c>
      <c r="J80" s="47" t="n">
        <v>191</v>
      </c>
      <c r="K80" s="47" t="n">
        <v>204</v>
      </c>
      <c r="L80" s="47" t="n">
        <v>207</v>
      </c>
      <c r="M80" s="47" t="n">
        <v>204</v>
      </c>
      <c r="N80" s="47" t="n">
        <v>196</v>
      </c>
      <c r="O80" s="47" t="n">
        <v>208</v>
      </c>
      <c r="P80" s="47" t="n">
        <v>188</v>
      </c>
      <c r="Q80" s="47" t="n">
        <v>189</v>
      </c>
      <c r="R80" s="47" t="n">
        <v>183</v>
      </c>
      <c r="S80" s="47" t="n">
        <v>175</v>
      </c>
    </row>
    <row r="81" customFormat="false" ht="12.8" hidden="false" customHeight="true" outlineLevel="0" collapsed="false">
      <c r="B81" s="47" t="s">
        <v>135</v>
      </c>
      <c r="C81" s="47" t="n">
        <v>356</v>
      </c>
      <c r="D81" s="47" t="n">
        <v>524</v>
      </c>
      <c r="E81" s="47" t="n">
        <v>482</v>
      </c>
      <c r="F81" s="47" t="n">
        <v>478</v>
      </c>
      <c r="G81" s="47" t="n">
        <v>442</v>
      </c>
      <c r="H81" s="47" t="n">
        <v>423</v>
      </c>
      <c r="I81" s="47" t="n">
        <v>444</v>
      </c>
      <c r="J81" s="47" t="n">
        <v>596</v>
      </c>
      <c r="K81" s="47" t="n">
        <v>553</v>
      </c>
      <c r="L81" s="47" t="n">
        <v>492</v>
      </c>
      <c r="M81" s="47" t="n">
        <v>447</v>
      </c>
      <c r="N81" s="47" t="n">
        <v>396</v>
      </c>
      <c r="O81" s="47" t="n">
        <v>509</v>
      </c>
      <c r="P81" s="47" t="n">
        <v>447</v>
      </c>
      <c r="Q81" s="47" t="n">
        <v>504</v>
      </c>
      <c r="R81" s="47" t="n">
        <v>465</v>
      </c>
      <c r="S81" s="47" t="n">
        <v>406</v>
      </c>
    </row>
    <row r="82" customFormat="false" ht="12.8" hidden="false" customHeight="true" outlineLevel="0" collapsed="false">
      <c r="B82" s="47" t="s">
        <v>136</v>
      </c>
      <c r="C82" s="47" t="n">
        <v>78</v>
      </c>
      <c r="D82" s="47" t="n">
        <v>70</v>
      </c>
      <c r="E82" s="47" t="n">
        <v>57</v>
      </c>
      <c r="F82" s="47" t="n">
        <v>70</v>
      </c>
      <c r="G82" s="47" t="n">
        <v>67</v>
      </c>
      <c r="H82" s="47" t="n">
        <v>66</v>
      </c>
      <c r="I82" s="47" t="n">
        <v>70</v>
      </c>
      <c r="J82" s="47" t="n">
        <v>67</v>
      </c>
      <c r="K82" s="47" t="n">
        <v>91</v>
      </c>
      <c r="L82" s="47" t="n">
        <v>83</v>
      </c>
      <c r="M82" s="47" t="n">
        <v>75</v>
      </c>
      <c r="N82" s="47" t="n">
        <v>62</v>
      </c>
      <c r="O82" s="47" t="n">
        <v>77</v>
      </c>
      <c r="P82" s="47" t="n">
        <v>64</v>
      </c>
      <c r="Q82" s="47" t="n">
        <v>60</v>
      </c>
      <c r="R82" s="47" t="n">
        <v>53</v>
      </c>
      <c r="S82" s="47" t="n">
        <v>49</v>
      </c>
    </row>
    <row r="83" customFormat="false" ht="12.8" hidden="false" customHeight="true" outlineLevel="0" collapsed="false">
      <c r="B83" s="49" t="s">
        <v>139</v>
      </c>
      <c r="C83" s="49" t="n">
        <v>572</v>
      </c>
      <c r="D83" s="49" t="n">
        <v>645</v>
      </c>
      <c r="E83" s="49" t="n">
        <v>641</v>
      </c>
      <c r="F83" s="49" t="n">
        <v>608</v>
      </c>
      <c r="G83" s="49" t="n">
        <v>602</v>
      </c>
      <c r="H83" s="49" t="n">
        <v>599</v>
      </c>
      <c r="I83" s="49" t="n">
        <v>586</v>
      </c>
      <c r="J83" s="49" t="n">
        <v>738</v>
      </c>
      <c r="K83" s="49" t="n">
        <v>901</v>
      </c>
      <c r="L83" s="49" t="n">
        <v>811</v>
      </c>
      <c r="M83" s="49" t="n">
        <v>751</v>
      </c>
      <c r="N83" s="49" t="n">
        <v>763</v>
      </c>
      <c r="O83" s="49" t="n">
        <v>928</v>
      </c>
      <c r="P83" s="49" t="n">
        <v>831</v>
      </c>
      <c r="Q83" s="49" t="n">
        <v>842</v>
      </c>
      <c r="R83" s="49" t="n">
        <v>745</v>
      </c>
      <c r="S83" s="49" t="n">
        <v>710</v>
      </c>
    </row>
    <row r="85" customFormat="false" ht="12.8" hidden="false" customHeight="true" outlineLevel="0" collapsed="false">
      <c r="B85" s="50" t="s">
        <v>140</v>
      </c>
      <c r="C85" s="0"/>
      <c r="D85" s="0"/>
    </row>
    <row r="86" customFormat="false" ht="12.8" hidden="false" customHeight="true" outlineLevel="0" collapsed="false">
      <c r="B86" s="23" t="s">
        <v>141</v>
      </c>
      <c r="C86" s="51" t="s">
        <v>142</v>
      </c>
      <c r="D86" s="51" t="s">
        <v>143</v>
      </c>
    </row>
    <row r="87" customFormat="false" ht="12.8" hidden="false" customHeight="true" outlineLevel="0" collapsed="false">
      <c r="B87" s="52" t="s">
        <v>125</v>
      </c>
      <c r="C87" s="53" t="s">
        <v>144</v>
      </c>
    </row>
    <row r="88" customFormat="false" ht="12.8" hidden="false" customHeight="true" outlineLevel="0" collapsed="false">
      <c r="B88" s="23" t="s">
        <v>107</v>
      </c>
      <c r="C88" s="1" t="n">
        <v>31761</v>
      </c>
      <c r="D88" s="54" t="n">
        <v>113.5</v>
      </c>
    </row>
    <row r="89" customFormat="false" ht="12.8" hidden="false" customHeight="true" outlineLevel="0" collapsed="false">
      <c r="B89" s="55" t="s">
        <v>145</v>
      </c>
      <c r="C89" s="1" t="n">
        <v>15309</v>
      </c>
      <c r="D89" s="1" t="n">
        <v>126.4</v>
      </c>
    </row>
    <row r="90" customFormat="false" ht="12.8" hidden="false" customHeight="true" outlineLevel="0" collapsed="false">
      <c r="B90" s="55" t="s">
        <v>146</v>
      </c>
      <c r="C90" s="56" t="s">
        <v>147</v>
      </c>
      <c r="D90" s="55" t="s">
        <v>148</v>
      </c>
    </row>
    <row r="91" customFormat="false" ht="12.8" hidden="false" customHeight="true" outlineLevel="0" collapsed="false">
      <c r="B91" s="23" t="s">
        <v>149</v>
      </c>
      <c r="C91" s="23" t="s">
        <v>150</v>
      </c>
      <c r="D91" s="23" t="s">
        <v>151</v>
      </c>
    </row>
    <row r="92" customFormat="false" ht="12.8" hidden="false" customHeight="true" outlineLevel="0" collapsed="false">
      <c r="B92" s="23" t="s">
        <v>152</v>
      </c>
      <c r="C92" s="23" t="s">
        <v>153</v>
      </c>
      <c r="D92" s="23" t="s">
        <v>154</v>
      </c>
    </row>
    <row r="93" customFormat="false" ht="12.8" hidden="false" customHeight="true" outlineLevel="0" collapsed="false">
      <c r="B93" s="24" t="s">
        <v>155</v>
      </c>
      <c r="C93" s="24" t="n">
        <v>3195</v>
      </c>
      <c r="D93" s="24" t="n">
        <v>122.4</v>
      </c>
    </row>
    <row r="94" customFormat="false" ht="12.8" hidden="false" customHeight="true" outlineLevel="0" collapsed="false">
      <c r="C94" s="22"/>
    </row>
    <row r="95" customFormat="false" ht="12.8" hidden="false" customHeight="true" outlineLevel="0" collapsed="false">
      <c r="B95" s="52" t="s">
        <v>133</v>
      </c>
      <c r="C95" s="57"/>
      <c r="D95" s="22"/>
    </row>
    <row r="96" customFormat="false" ht="12.8" hidden="false" customHeight="true" outlineLevel="0" collapsed="false">
      <c r="B96" s="23" t="s">
        <v>156</v>
      </c>
      <c r="C96" s="56" t="s">
        <v>157</v>
      </c>
      <c r="D96" s="23" t="s">
        <v>158</v>
      </c>
    </row>
    <row r="97" customFormat="false" ht="12.8" hidden="false" customHeight="true" outlineLevel="0" collapsed="false">
      <c r="B97" s="23" t="s">
        <v>159</v>
      </c>
      <c r="C97" s="23" t="s">
        <v>160</v>
      </c>
      <c r="D97" s="23" t="s">
        <v>161</v>
      </c>
    </row>
    <row r="98" customFormat="false" ht="12.8" hidden="false" customHeight="true" outlineLevel="0" collapsed="false">
      <c r="B98" s="23" t="s">
        <v>162</v>
      </c>
      <c r="C98" s="23" t="s">
        <v>163</v>
      </c>
      <c r="D98" s="23" t="s">
        <v>164</v>
      </c>
    </row>
    <row r="102" customFormat="false" ht="12.8" hidden="false" customHeight="true" outlineLevel="0" collapsed="false">
      <c r="B102" s="58" t="s">
        <v>165</v>
      </c>
    </row>
    <row r="103" customFormat="false" ht="12.8" hidden="false" customHeight="true" outlineLevel="0" collapsed="false">
      <c r="B103" s="52" t="s">
        <v>125</v>
      </c>
      <c r="C103" s="53" t="s">
        <v>144</v>
      </c>
    </row>
    <row r="104" customFormat="false" ht="12.8" hidden="false" customHeight="true" outlineLevel="0" collapsed="false">
      <c r="B104" s="23" t="s">
        <v>107</v>
      </c>
      <c r="D104" s="54"/>
    </row>
    <row r="105" customFormat="false" ht="12.8" hidden="false" customHeight="true" outlineLevel="0" collapsed="false">
      <c r="B105" s="55" t="s">
        <v>145</v>
      </c>
    </row>
    <row r="106" customFormat="false" ht="12.8" hidden="false" customHeight="true" outlineLevel="0" collapsed="false">
      <c r="B106" s="55" t="s">
        <v>146</v>
      </c>
      <c r="C106" s="56"/>
      <c r="D106" s="55"/>
    </row>
    <row r="107" customFormat="false" ht="12.8" hidden="false" customHeight="true" outlineLevel="0" collapsed="false">
      <c r="B107" s="23" t="s">
        <v>149</v>
      </c>
      <c r="C107" s="57"/>
      <c r="D107" s="57"/>
    </row>
    <row r="108" customFormat="false" ht="12.8" hidden="false" customHeight="true" outlineLevel="0" collapsed="false">
      <c r="B108" s="23" t="s">
        <v>152</v>
      </c>
      <c r="C108" s="57"/>
      <c r="D108" s="57"/>
    </row>
    <row r="109" customFormat="false" ht="12.8" hidden="false" customHeight="true" outlineLevel="0" collapsed="false">
      <c r="B109" s="24" t="s">
        <v>155</v>
      </c>
      <c r="C109" s="24"/>
      <c r="D109" s="24"/>
    </row>
    <row r="110" customFormat="false" ht="12.8" hidden="false" customHeight="true" outlineLevel="0" collapsed="false">
      <c r="C110" s="22"/>
    </row>
    <row r="111" customFormat="false" ht="12.8" hidden="false" customHeight="true" outlineLevel="0" collapsed="false">
      <c r="B111" s="52" t="s">
        <v>133</v>
      </c>
      <c r="C111" s="57"/>
      <c r="D111" s="22"/>
    </row>
    <row r="112" customFormat="false" ht="12.8" hidden="false" customHeight="true" outlineLevel="0" collapsed="false">
      <c r="B112" s="23" t="s">
        <v>156</v>
      </c>
      <c r="C112" s="56"/>
      <c r="D112" s="57"/>
    </row>
    <row r="113" customFormat="false" ht="12.8" hidden="false" customHeight="true" outlineLevel="0" collapsed="false">
      <c r="B113" s="23" t="s">
        <v>159</v>
      </c>
      <c r="C113" s="57"/>
      <c r="D113" s="57"/>
    </row>
    <row r="114" customFormat="false" ht="12.8" hidden="false" customHeight="true" outlineLevel="0" collapsed="false">
      <c r="B114" s="23" t="s">
        <v>162</v>
      </c>
      <c r="C114" s="57"/>
      <c r="D114" s="57"/>
    </row>
    <row r="118" customFormat="false" ht="12.8" hidden="false" customHeight="true" outlineLevel="0" collapsed="false">
      <c r="B118" s="59"/>
    </row>
    <row r="119" customFormat="false" ht="12.8" hidden="false" customHeight="true" outlineLevel="0" collapsed="false">
      <c r="B119" s="52" t="s">
        <v>125</v>
      </c>
      <c r="C119" s="53" t="s">
        <v>144</v>
      </c>
    </row>
    <row r="120" customFormat="false" ht="12.8" hidden="false" customHeight="true" outlineLevel="0" collapsed="false">
      <c r="B120" s="23" t="s">
        <v>107</v>
      </c>
      <c r="D120" s="54"/>
    </row>
    <row r="121" customFormat="false" ht="12.8" hidden="false" customHeight="true" outlineLevel="0" collapsed="false">
      <c r="B121" s="55" t="s">
        <v>145</v>
      </c>
    </row>
    <row r="122" customFormat="false" ht="12.8" hidden="false" customHeight="true" outlineLevel="0" collapsed="false">
      <c r="B122" s="55" t="s">
        <v>146</v>
      </c>
      <c r="C122" s="56"/>
      <c r="D122" s="55"/>
    </row>
    <row r="123" customFormat="false" ht="12.8" hidden="false" customHeight="true" outlineLevel="0" collapsed="false">
      <c r="B123" s="23" t="s">
        <v>149</v>
      </c>
      <c r="C123" s="57"/>
      <c r="D123" s="57"/>
    </row>
    <row r="124" customFormat="false" ht="12.8" hidden="false" customHeight="true" outlineLevel="0" collapsed="false">
      <c r="B124" s="23" t="s">
        <v>152</v>
      </c>
      <c r="C124" s="57"/>
      <c r="D124" s="57"/>
    </row>
    <row r="125" customFormat="false" ht="12.8" hidden="false" customHeight="true" outlineLevel="0" collapsed="false">
      <c r="B125" s="24" t="s">
        <v>155</v>
      </c>
      <c r="C125" s="24"/>
      <c r="D125" s="24"/>
    </row>
    <row r="126" customFormat="false" ht="12.8" hidden="false" customHeight="true" outlineLevel="0" collapsed="false">
      <c r="C126" s="22"/>
    </row>
    <row r="127" customFormat="false" ht="12.8" hidden="false" customHeight="true" outlineLevel="0" collapsed="false">
      <c r="B127" s="52" t="s">
        <v>133</v>
      </c>
      <c r="C127" s="57"/>
      <c r="D127" s="22"/>
    </row>
    <row r="128" customFormat="false" ht="12.8" hidden="false" customHeight="true" outlineLevel="0" collapsed="false">
      <c r="B128" s="23" t="s">
        <v>156</v>
      </c>
      <c r="C128" s="56"/>
      <c r="D128" s="57"/>
    </row>
    <row r="129" customFormat="false" ht="12.8" hidden="false" customHeight="true" outlineLevel="0" collapsed="false">
      <c r="B129" s="23" t="s">
        <v>159</v>
      </c>
      <c r="C129" s="57"/>
      <c r="D129" s="57"/>
    </row>
    <row r="130" customFormat="false" ht="12.8" hidden="false" customHeight="true" outlineLevel="0" collapsed="false">
      <c r="B130" s="23" t="s">
        <v>162</v>
      </c>
      <c r="C130" s="57"/>
      <c r="D130" s="57"/>
    </row>
  </sheetData>
  <mergeCells count="5">
    <mergeCell ref="A53:Q53"/>
    <mergeCell ref="B57:C57"/>
    <mergeCell ref="B58:B64"/>
    <mergeCell ref="B65:B68"/>
    <mergeCell ref="B69:S69"/>
  </mergeCells>
  <conditionalFormatting sqref="B75:S75">
    <cfRule type="colorScale" priority="2">
      <colorScale>
        <cfvo type="min" val="0"/>
        <cfvo type="percentile" val="50"/>
        <cfvo type="max" val="0"/>
        <color rgb="FFFF0000"/>
        <color rgb="FF81D41A"/>
        <color rgb="FF00A933"/>
      </colorScale>
    </cfRule>
  </conditionalFormatting>
  <hyperlinks>
    <hyperlink ref="A31" r:id="rId1" display="MassAbility Annual and Legislative Reports | Mass.gov "/>
    <hyperlink ref="A32" r:id="rId2" display="https://www.mass.gov/lists/massability-annual-and-legislative-reports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2025-07-20T14:53:27Z</dcterms:created>
  <dc:creator/>
  <dc:description/>
  <dc:language>en-US</dc:language>
  <cp:lastModifiedBy/>
  <dcterms:modified xsi:type="dcterms:W3CDTF">2025-09-11T18:15:45Z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